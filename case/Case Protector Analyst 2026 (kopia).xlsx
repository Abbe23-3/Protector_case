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/>
  <mc:AlternateContent xmlns:mc="http://schemas.openxmlformats.org/markup-compatibility/2006">
    <mc:Choice Requires="x15">
      <x15ac:absPath xmlns:x15ac="http://schemas.microsoft.com/office/spreadsheetml/2010/11/ac" url="/Users/albint/Downloads/"/>
    </mc:Choice>
  </mc:AlternateContent>
  <xr:revisionPtr revIDLastSave="0" documentId="13_ncr:1_{146EEED5-3F8C-4495-A6EB-87DA4C35212B}" xr6:coauthVersionLast="47" xr6:coauthVersionMax="47" xr10:uidLastSave="{00000000-0000-0000-0000-000000000000}"/>
  <bookViews>
    <workbookView xWindow="1680" yWindow="980" windowWidth="25220" windowHeight="15220" xr2:uid="{00000000-000D-0000-FFFF-FFFF00000000}"/>
  </bookViews>
  <sheets>
    <sheet name="Case" sheetId="1" r:id="rId1"/>
    <sheet name="Claims" sheetId="2" r:id="rId2"/>
  </sheets>
  <definedNames>
    <definedName name="_xlnm._FilterDatabase" localSheetId="1" hidden="1">Claims!$A$1:$C$69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F18" i="1"/>
  <c r="F19" i="1"/>
  <c r="C18" i="1"/>
  <c r="E18" i="1"/>
  <c r="E19" i="1"/>
  <c r="D18" i="1"/>
</calcChain>
</file>

<file path=xl/sharedStrings.xml><?xml version="1.0" encoding="utf-8"?>
<sst xmlns="http://schemas.openxmlformats.org/spreadsheetml/2006/main" count="22" uniqueCount="20">
  <si>
    <t>?</t>
  </si>
  <si>
    <t>Assumptions &amp; Conditions</t>
  </si>
  <si>
    <t>You have claim statistics as well as the number of vehicles for a four-year period.</t>
  </si>
  <si>
    <t>Assume our operating/administrative cost is 0.</t>
  </si>
  <si>
    <t>The nearest competitor is offering a premium of 450,000 SEK for 100 vehicles.</t>
  </si>
  <si>
    <t>Assume an annual inflation rate of 5%.</t>
  </si>
  <si>
    <t>Claim cost</t>
  </si>
  <si>
    <t>Number of claims</t>
  </si>
  <si>
    <t>Number of vehicles</t>
  </si>
  <si>
    <t>Assume that the accident years are fully run-off (closed).</t>
  </si>
  <si>
    <t>Assume there will be 100 vehicles in 2026.</t>
  </si>
  <si>
    <t>Questions</t>
  </si>
  <si>
    <t>State your assumptions and justify your answers!</t>
  </si>
  <si>
    <t>1. How many claims will occur in 2026?</t>
  </si>
  <si>
    <t>2. What will the claim cost be in 2026?</t>
  </si>
  <si>
    <t>3. What premium shall we offer?</t>
  </si>
  <si>
    <t>4. Should inflation be taken into account in the calculations?</t>
  </si>
  <si>
    <t>NOTE: This file has 2 tabs. The second tab contains information about individual claims.</t>
  </si>
  <si>
    <t>Claim 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</si>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</sst>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\ ###\ ##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1" fontId="0" fillId="2" borderId="0" xfId="0" applyNumberFormat="1" applyFill="1"/>
    <xf numFmtId="164" fontId="0" fillId="2" borderId="0" xfId="0" applyNumberFormat="1" applyFill="1"/>
    <xf numFmtId="14" fontId="0" fillId="2" borderId="0" xfId="0" applyNumberFormat="1" applyFill="1"/>
    <xf numFmtId="0" fontId="0" fillId="3" borderId="5" xfId="0" applyFill="1" applyBorder="1"/>
    <xf numFmtId="1" fontId="0" fillId="3" borderId="6" xfId="0" applyNumberFormat="1" applyFill="1" applyBorder="1"/>
    <xf numFmtId="164" fontId="0" fillId="3" borderId="7" xfId="0" applyNumberFormat="1" applyFill="1" applyBorder="1"/>
    <xf numFmtId="3" fontId="0" fillId="2" borderId="1" xfId="0" applyNumberFormat="1" applyFill="1" applyBorder="1"/>
    <xf numFmtId="3" fontId="0" fillId="4" borderId="1" xfId="0" applyNumberFormat="1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/>
    <xf numFmtId="9" fontId="0" fillId="2" borderId="0" xfId="1" applyFont="1" applyFill="1"/>
    <xf numFmtId="0" fontId="3" fillId="2" borderId="0" xfId="0" applyFont="1" applyFill="1"/>
    <xf numFmtId="9" fontId="0" fillId="2" borderId="0" xfId="0" applyNumberFormat="1" applyFill="1"/>
    <xf numFmtId="4" fontId="0" fillId="2" borderId="0" xfId="0" applyNumberFormat="1" applyFill="1"/>
    <xf numFmtId="165" fontId="0" fillId="2" borderId="0" xfId="0" applyNumberFormat="1" applyFill="1"/>
    <xf numFmtId="165" fontId="0" fillId="2" borderId="0" xfId="2" applyNumberFormat="1" applyFont="1" applyFill="1"/>
  </cellXfs>
  <cellStyles count="3">
    <cellStyle name="Normal" xfId="0" builtinId="0"/>
    <cellStyle name="Procent" xfId="1" builtinId="5"/>
    <cellStyle name="Tusenta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8"/>
  <sheetViews>
    <sheetView tabSelected="1" workbookViewId="0">
      <selection activeCell="M25" sqref="M25"/>
    </sheetView>
  </sheetViews>
  <sheetFormatPr baseColWidth="10" defaultColWidth="9.1640625" defaultRowHeight="15" x14ac:dyDescent="0.2"/>
  <cols>
    <col min="1" max="1" width="9.1640625" style="1"/>
    <col min="2" max="2" width="18" style="1" bestFit="1" customWidth="1"/>
    <col min="3" max="5" width="9.1640625" style="1"/>
    <col min="6" max="6" width="12.83203125" style="1" bestFit="1" customWidth="1"/>
    <col min="7" max="7" width="11.5" style="1" bestFit="1" customWidth="1"/>
    <col min="8" max="8" width="9.1640625" style="1"/>
    <col min="9" max="9" width="11.1640625" style="1" bestFit="1" customWidth="1"/>
    <col min="10" max="16384" width="9.1640625" style="1"/>
  </cols>
  <sheetData>
    <row r="2" spans="2:8" x14ac:dyDescent="0.2">
      <c r="B2" s="15" t="s">
        <v>1</v>
      </c>
    </row>
    <row r="3" spans="2:8" x14ac:dyDescent="0.2">
      <c r="B3" s="1" t="s">
        <v>2</v>
      </c>
    </row>
    <row r="4" spans="2:8" x14ac:dyDescent="0.2">
      <c r="B4" s="1" t="s">
        <v>9</v>
      </c>
    </row>
    <row r="5" spans="2:8" x14ac:dyDescent="0.2">
      <c r="B5" s="1" t="s">
        <v>10</v>
      </c>
    </row>
    <row r="6" spans="2:8" x14ac:dyDescent="0.2">
      <c r="B6" s="1" t="s">
        <v>3</v>
      </c>
    </row>
    <row r="7" spans="2:8" x14ac:dyDescent="0.2">
      <c r="B7" s="1" t="s">
        <v>4</v>
      </c>
    </row>
    <row r="8" spans="2:8" x14ac:dyDescent="0.2">
      <c r="B8" s="1" t="s">
        <v>5</v>
      </c>
    </row>
    <row r="10" spans="2:8" x14ac:dyDescent="0.2">
      <c r="B10" s="17" t="s">
        <v>11</v>
      </c>
    </row>
    <row r="11" spans="2:8" x14ac:dyDescent="0.2">
      <c r="B11" s="15" t="s">
        <v>12</v>
      </c>
    </row>
    <row r="12" spans="2:8" x14ac:dyDescent="0.2">
      <c r="B12" s="1" t="s">
        <v>13</v>
      </c>
    </row>
    <row r="13" spans="2:8" x14ac:dyDescent="0.2">
      <c r="B13" s="1" t="s">
        <v>14</v>
      </c>
    </row>
    <row r="14" spans="2:8" x14ac:dyDescent="0.2">
      <c r="B14" s="1" t="s">
        <v>15</v>
      </c>
    </row>
    <row r="15" spans="2:8" x14ac:dyDescent="0.2">
      <c r="B15" s="1" t="s">
        <v>16</v>
      </c>
      <c r="H15"/>
    </row>
    <row r="17" spans="2:11" x14ac:dyDescent="0.2">
      <c r="B17" s="3"/>
      <c r="C17" s="5">
        <v>2022</v>
      </c>
      <c r="D17" s="4">
        <v>2023</v>
      </c>
      <c r="E17" s="5">
        <v>2024</v>
      </c>
      <c r="F17" s="4">
        <v>2025</v>
      </c>
      <c r="G17" s="5">
        <v>2026</v>
      </c>
    </row>
    <row r="18" spans="2:11" x14ac:dyDescent="0.2">
      <c r="B18" s="14" t="s">
        <v>6</v>
      </c>
      <c r="C18" s="12">
        <f>SUMIFS(Claims!$C:$C,Claims!$B:$B,Case!C$17)</f>
        <v>11586</v>
      </c>
      <c r="D18" s="12">
        <f>SUMIFS(Claims!$C:$C,Claims!$B:$B,Case!D$17)</f>
        <v>16417</v>
      </c>
      <c r="E18" s="12">
        <f>SUMIFS(Claims!$C:$C,Claims!$B:$B,Case!E$17)</f>
        <v>217901</v>
      </c>
      <c r="F18" s="12">
        <f>SUMIFS(Claims!$C:$C,Claims!$B:$B,Case!F$17)</f>
        <v>211863.19070000001</v>
      </c>
      <c r="G18" s="13" t="s">
        <v>0</v>
      </c>
    </row>
    <row r="19" spans="2:11" x14ac:dyDescent="0.2">
      <c r="B19" s="14" t="s">
        <v>7</v>
      </c>
      <c r="C19" s="12">
        <f>COUNTIFS(Claims!$B:$B,Case!C$17)</f>
        <v>1</v>
      </c>
      <c r="D19" s="12">
        <f>COUNTIFS(Claims!$B:$B,Case!D$17)</f>
        <v>2</v>
      </c>
      <c r="E19" s="12">
        <f>COUNTIFS(Claims!$B:$B,Case!E$17)</f>
        <v>31</v>
      </c>
      <c r="F19" s="12">
        <f>COUNTIFS(Claims!$B:$B,Case!F$17)</f>
        <v>34</v>
      </c>
      <c r="G19" s="13" t="s">
        <v>0</v>
      </c>
      <c r="J19" s="2"/>
    </row>
    <row r="20" spans="2:11" x14ac:dyDescent="0.2">
      <c r="B20" s="14" t="s">
        <v>8</v>
      </c>
      <c r="C20" s="12">
        <v>1</v>
      </c>
      <c r="D20" s="12">
        <v>2</v>
      </c>
      <c r="E20" s="12">
        <v>87</v>
      </c>
      <c r="F20" s="12">
        <v>100</v>
      </c>
      <c r="G20" s="12">
        <v>100</v>
      </c>
    </row>
    <row r="21" spans="2:11" x14ac:dyDescent="0.2">
      <c r="C21" s="19"/>
      <c r="D21" s="19"/>
      <c r="E21" s="19"/>
      <c r="F21" s="19"/>
      <c r="G21" s="2"/>
    </row>
    <row r="22" spans="2:11" x14ac:dyDescent="0.2">
      <c r="C22" s="20"/>
      <c r="D22" s="20"/>
      <c r="E22" s="20"/>
      <c r="F22" s="21"/>
      <c r="K22"/>
    </row>
    <row r="23" spans="2:11" x14ac:dyDescent="0.2">
      <c r="C23" s="2"/>
      <c r="D23" s="2"/>
      <c r="E23" s="2"/>
      <c r="F23" s="2"/>
      <c r="G23" s="18"/>
    </row>
    <row r="24" spans="2:11" x14ac:dyDescent="0.2">
      <c r="B24" s="17" t="s">
        <v>17</v>
      </c>
    </row>
    <row r="26" spans="2:11" x14ac:dyDescent="0.2">
      <c r="F26" s="2"/>
    </row>
    <row r="27" spans="2:11" x14ac:dyDescent="0.2">
      <c r="F27" s="2"/>
    </row>
    <row r="28" spans="2:11" x14ac:dyDescent="0.2">
      <c r="C28" s="16"/>
      <c r="D28" s="16"/>
      <c r="E28" s="16"/>
      <c r="F28" s="16"/>
      <c r="G28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9"/>
  <sheetViews>
    <sheetView workbookViewId="0">
      <selection activeCell="C2" sqref="C2"/>
    </sheetView>
  </sheetViews>
  <sheetFormatPr baseColWidth="10" defaultColWidth="9.1640625" defaultRowHeight="15" x14ac:dyDescent="0.2"/>
  <cols>
    <col min="1" max="1" width="15.83203125" style="1" customWidth="1"/>
    <col min="2" max="2" width="9.33203125" style="6" customWidth="1"/>
    <col min="3" max="3" width="13.5" style="1" bestFit="1" customWidth="1"/>
    <col min="4" max="6" width="9.1640625" style="1"/>
    <col min="7" max="7" width="12.6640625" style="1" bestFit="1" customWidth="1"/>
    <col min="8" max="8" width="19.1640625" style="1" bestFit="1" customWidth="1"/>
    <col min="9" max="9" width="21.6640625" style="1" bestFit="1" customWidth="1"/>
    <col min="10" max="16384" width="9.1640625" style="1"/>
  </cols>
  <sheetData>
    <row r="1" spans="1:3" x14ac:dyDescent="0.2">
      <c r="A1" s="9" t="s">
        <v>18</v>
      </c>
      <c r="B1" s="10" t="s">
        <v>19</v>
      </c>
      <c r="C1" s="11" t="s">
        <v>6</v>
      </c>
    </row>
    <row r="2" spans="1:3" x14ac:dyDescent="0.2">
      <c r="A2" s="8">
        <v>45296</v>
      </c>
      <c r="B2" s="6">
        <v>2024</v>
      </c>
      <c r="C2" s="7">
        <v>67050</v>
      </c>
    </row>
    <row r="3" spans="1:3" x14ac:dyDescent="0.2">
      <c r="A3" s="8">
        <v>45766</v>
      </c>
      <c r="B3" s="6">
        <v>2025</v>
      </c>
      <c r="C3" s="7">
        <v>56770</v>
      </c>
    </row>
    <row r="4" spans="1:3" x14ac:dyDescent="0.2">
      <c r="A4" s="8">
        <v>45418</v>
      </c>
      <c r="B4" s="6">
        <v>2024</v>
      </c>
      <c r="C4" s="7">
        <v>43599</v>
      </c>
    </row>
    <row r="5" spans="1:3" x14ac:dyDescent="0.2">
      <c r="A5" s="8">
        <v>45663</v>
      </c>
      <c r="B5" s="6">
        <v>2025</v>
      </c>
      <c r="C5" s="7">
        <v>33378</v>
      </c>
    </row>
    <row r="6" spans="1:3" x14ac:dyDescent="0.2">
      <c r="A6" s="8">
        <v>45357</v>
      </c>
      <c r="B6" s="6">
        <v>2024</v>
      </c>
      <c r="C6" s="7">
        <v>23957</v>
      </c>
    </row>
    <row r="7" spans="1:3" x14ac:dyDescent="0.2">
      <c r="A7" s="8">
        <v>45485</v>
      </c>
      <c r="B7" s="6">
        <v>2024</v>
      </c>
      <c r="C7" s="7">
        <v>21585</v>
      </c>
    </row>
    <row r="8" spans="1:3" x14ac:dyDescent="0.2">
      <c r="A8" s="8">
        <v>45694</v>
      </c>
      <c r="B8" s="6">
        <v>2025</v>
      </c>
      <c r="C8" s="7">
        <v>19051</v>
      </c>
    </row>
    <row r="9" spans="1:3" x14ac:dyDescent="0.2">
      <c r="A9" s="8">
        <v>45516</v>
      </c>
      <c r="B9" s="6">
        <v>2024</v>
      </c>
      <c r="C9" s="7">
        <v>18400</v>
      </c>
    </row>
    <row r="10" spans="1:3" x14ac:dyDescent="0.2">
      <c r="A10" s="8">
        <v>45995</v>
      </c>
      <c r="B10" s="6">
        <v>2025</v>
      </c>
      <c r="C10" s="7">
        <v>14173.927</v>
      </c>
    </row>
    <row r="11" spans="1:3" x14ac:dyDescent="0.2">
      <c r="A11" s="8">
        <v>45934</v>
      </c>
      <c r="B11" s="6">
        <v>2025</v>
      </c>
      <c r="C11" s="7">
        <v>14173.927</v>
      </c>
    </row>
    <row r="12" spans="1:3" x14ac:dyDescent="0.2">
      <c r="A12" s="8">
        <v>45781</v>
      </c>
      <c r="B12" s="6">
        <v>2025</v>
      </c>
      <c r="C12" s="7">
        <v>14173.927</v>
      </c>
    </row>
    <row r="13" spans="1:3" x14ac:dyDescent="0.2">
      <c r="A13" s="8">
        <v>45023</v>
      </c>
      <c r="B13" s="6">
        <v>2023</v>
      </c>
      <c r="C13" s="7">
        <v>13161</v>
      </c>
    </row>
    <row r="14" spans="1:3" x14ac:dyDescent="0.2">
      <c r="A14" s="8">
        <v>45455</v>
      </c>
      <c r="B14" s="6">
        <v>2024</v>
      </c>
      <c r="C14" s="7">
        <v>12798</v>
      </c>
    </row>
    <row r="15" spans="1:3" x14ac:dyDescent="0.2">
      <c r="A15" s="8">
        <v>44652</v>
      </c>
      <c r="B15" s="6">
        <v>2022</v>
      </c>
      <c r="C15" s="7">
        <v>11586</v>
      </c>
    </row>
    <row r="16" spans="1:3" x14ac:dyDescent="0.2">
      <c r="A16" s="8">
        <v>45965</v>
      </c>
      <c r="B16" s="6">
        <v>2025</v>
      </c>
      <c r="C16" s="7">
        <v>9841.6887000000006</v>
      </c>
    </row>
    <row r="17" spans="1:3" x14ac:dyDescent="0.2">
      <c r="A17" s="8">
        <v>45873</v>
      </c>
      <c r="B17" s="6">
        <v>2025</v>
      </c>
      <c r="C17" s="7">
        <v>9841.6887000000006</v>
      </c>
    </row>
    <row r="18" spans="1:3" x14ac:dyDescent="0.2">
      <c r="A18" s="8">
        <v>45720</v>
      </c>
      <c r="B18" s="6">
        <v>2025</v>
      </c>
      <c r="C18" s="7">
        <v>9841.6887000000006</v>
      </c>
    </row>
    <row r="19" spans="1:3" x14ac:dyDescent="0.2">
      <c r="A19" s="8">
        <v>45818</v>
      </c>
      <c r="B19" s="6">
        <v>2025</v>
      </c>
      <c r="C19" s="7">
        <v>8125</v>
      </c>
    </row>
    <row r="20" spans="1:3" x14ac:dyDescent="0.2">
      <c r="A20" s="8">
        <v>45812</v>
      </c>
      <c r="B20" s="6">
        <v>2025</v>
      </c>
      <c r="C20" s="7">
        <v>7423</v>
      </c>
    </row>
    <row r="21" spans="1:3" x14ac:dyDescent="0.2">
      <c r="A21" s="8">
        <v>45333</v>
      </c>
      <c r="B21" s="6">
        <v>2024</v>
      </c>
      <c r="C21" s="7">
        <v>6600</v>
      </c>
    </row>
    <row r="22" spans="1:3" x14ac:dyDescent="0.2">
      <c r="A22" s="8">
        <v>45571</v>
      </c>
      <c r="B22" s="6">
        <v>2024</v>
      </c>
      <c r="C22" s="7">
        <v>5681</v>
      </c>
    </row>
    <row r="23" spans="1:3" x14ac:dyDescent="0.2">
      <c r="A23" s="8">
        <v>45904</v>
      </c>
      <c r="B23" s="6">
        <v>2025</v>
      </c>
      <c r="C23" s="7">
        <v>4303.1718000000001</v>
      </c>
    </row>
    <row r="24" spans="1:3" x14ac:dyDescent="0.2">
      <c r="A24" s="8">
        <v>45751</v>
      </c>
      <c r="B24" s="6">
        <v>2025</v>
      </c>
      <c r="C24" s="7">
        <v>4303.1718000000001</v>
      </c>
    </row>
    <row r="25" spans="1:3" x14ac:dyDescent="0.2">
      <c r="A25" s="8">
        <v>45541</v>
      </c>
      <c r="B25" s="6">
        <v>2024</v>
      </c>
      <c r="C25" s="7">
        <v>3949</v>
      </c>
    </row>
    <row r="26" spans="1:3" x14ac:dyDescent="0.2">
      <c r="A26" s="8">
        <v>45608</v>
      </c>
      <c r="B26" s="6">
        <v>2024</v>
      </c>
      <c r="C26" s="7">
        <v>3526</v>
      </c>
    </row>
    <row r="27" spans="1:3" x14ac:dyDescent="0.2">
      <c r="A27" s="8">
        <v>45048</v>
      </c>
      <c r="B27" s="6">
        <v>2023</v>
      </c>
      <c r="C27" s="7">
        <v>3256</v>
      </c>
    </row>
    <row r="28" spans="1:3" x14ac:dyDescent="0.2">
      <c r="A28" s="8">
        <v>45479</v>
      </c>
      <c r="B28" s="6">
        <v>2024</v>
      </c>
      <c r="C28" s="7">
        <v>3209</v>
      </c>
    </row>
    <row r="29" spans="1:3" x14ac:dyDescent="0.2">
      <c r="A29" s="8">
        <v>45735</v>
      </c>
      <c r="B29" s="6">
        <v>2025</v>
      </c>
      <c r="C29" s="7">
        <v>3207</v>
      </c>
    </row>
    <row r="30" spans="1:3" x14ac:dyDescent="0.2">
      <c r="A30" s="8">
        <v>45632</v>
      </c>
      <c r="B30" s="6">
        <v>2024</v>
      </c>
      <c r="C30" s="7">
        <v>2800</v>
      </c>
    </row>
    <row r="31" spans="1:3" x14ac:dyDescent="0.2">
      <c r="A31" s="8">
        <v>45827</v>
      </c>
      <c r="B31" s="6">
        <v>2025</v>
      </c>
      <c r="C31" s="7">
        <v>2620</v>
      </c>
    </row>
    <row r="32" spans="1:3" x14ac:dyDescent="0.2">
      <c r="A32" s="8">
        <v>45449</v>
      </c>
      <c r="B32" s="6">
        <v>2024</v>
      </c>
      <c r="C32" s="7">
        <v>2539</v>
      </c>
    </row>
    <row r="33" spans="1:3" x14ac:dyDescent="0.2">
      <c r="A33" s="8">
        <v>45638</v>
      </c>
      <c r="B33" s="6">
        <v>2024</v>
      </c>
      <c r="C33" s="7">
        <v>2208</v>
      </c>
    </row>
    <row r="34" spans="1:3" x14ac:dyDescent="0.2">
      <c r="A34" s="8">
        <v>45842</v>
      </c>
      <c r="B34" s="6">
        <v>2025</v>
      </c>
      <c r="C34" s="7">
        <v>336</v>
      </c>
    </row>
    <row r="35" spans="1:3" x14ac:dyDescent="0.2">
      <c r="A35" s="8">
        <v>45857</v>
      </c>
      <c r="B35" s="6">
        <v>2025</v>
      </c>
      <c r="C35" s="7">
        <v>300</v>
      </c>
    </row>
    <row r="36" spans="1:3" x14ac:dyDescent="0.2">
      <c r="A36" s="8">
        <v>45602</v>
      </c>
      <c r="B36" s="6">
        <v>2024</v>
      </c>
      <c r="C36" s="7">
        <v>0</v>
      </c>
    </row>
    <row r="37" spans="1:3" x14ac:dyDescent="0.2">
      <c r="A37" s="8">
        <v>45510</v>
      </c>
      <c r="B37" s="6">
        <v>2024</v>
      </c>
      <c r="C37" s="7">
        <v>0</v>
      </c>
    </row>
    <row r="38" spans="1:3" x14ac:dyDescent="0.2">
      <c r="A38" s="8">
        <v>45388</v>
      </c>
      <c r="B38" s="6">
        <v>2024</v>
      </c>
      <c r="C38" s="7">
        <v>0</v>
      </c>
    </row>
    <row r="39" spans="1:3" x14ac:dyDescent="0.2">
      <c r="A39" s="8">
        <v>45327</v>
      </c>
      <c r="B39" s="6">
        <v>2024</v>
      </c>
      <c r="C39" s="7">
        <v>0</v>
      </c>
    </row>
    <row r="40" spans="1:3" x14ac:dyDescent="0.2">
      <c r="A40" s="8">
        <v>46001</v>
      </c>
      <c r="B40" s="6">
        <v>2025</v>
      </c>
      <c r="C40" s="7">
        <v>0</v>
      </c>
    </row>
    <row r="41" spans="1:3" x14ac:dyDescent="0.2">
      <c r="A41" s="8">
        <v>45971</v>
      </c>
      <c r="B41" s="6">
        <v>2025</v>
      </c>
      <c r="C41" s="7">
        <v>0</v>
      </c>
    </row>
    <row r="42" spans="1:3" x14ac:dyDescent="0.2">
      <c r="A42" s="8">
        <v>45940</v>
      </c>
      <c r="B42" s="6">
        <v>2025</v>
      </c>
      <c r="C42" s="7">
        <v>0</v>
      </c>
    </row>
    <row r="43" spans="1:3" x14ac:dyDescent="0.2">
      <c r="A43" s="8">
        <v>45910</v>
      </c>
      <c r="B43" s="6">
        <v>2025</v>
      </c>
      <c r="C43" s="7">
        <v>0</v>
      </c>
    </row>
    <row r="44" spans="1:3" x14ac:dyDescent="0.2">
      <c r="A44" s="8">
        <v>45879</v>
      </c>
      <c r="B44" s="6">
        <v>2025</v>
      </c>
      <c r="C44" s="7">
        <v>0</v>
      </c>
    </row>
    <row r="45" spans="1:3" x14ac:dyDescent="0.2">
      <c r="A45" s="8">
        <v>45848</v>
      </c>
      <c r="B45" s="6">
        <v>2025</v>
      </c>
      <c r="C45" s="7">
        <v>0</v>
      </c>
    </row>
    <row r="46" spans="1:3" x14ac:dyDescent="0.2">
      <c r="A46" s="8">
        <v>45787</v>
      </c>
      <c r="B46" s="6">
        <v>2025</v>
      </c>
      <c r="C46" s="7">
        <v>0</v>
      </c>
    </row>
    <row r="47" spans="1:3" x14ac:dyDescent="0.2">
      <c r="A47" s="8">
        <v>45757</v>
      </c>
      <c r="B47" s="6">
        <v>2025</v>
      </c>
      <c r="C47" s="7">
        <v>0</v>
      </c>
    </row>
    <row r="48" spans="1:3" x14ac:dyDescent="0.2">
      <c r="A48" s="8">
        <v>45726</v>
      </c>
      <c r="B48" s="6">
        <v>2025</v>
      </c>
      <c r="C48" s="7">
        <v>0</v>
      </c>
    </row>
    <row r="49" spans="1:3" x14ac:dyDescent="0.2">
      <c r="A49" s="8">
        <v>45700</v>
      </c>
      <c r="B49" s="6">
        <v>2025</v>
      </c>
      <c r="C49" s="7">
        <v>0</v>
      </c>
    </row>
    <row r="50" spans="1:3" x14ac:dyDescent="0.2">
      <c r="A50" s="8">
        <v>45669</v>
      </c>
      <c r="B50" s="6">
        <v>2025</v>
      </c>
      <c r="C50" s="7">
        <v>0</v>
      </c>
    </row>
    <row r="51" spans="1:3" x14ac:dyDescent="0.2">
      <c r="A51" s="8">
        <v>45577</v>
      </c>
      <c r="B51" s="6">
        <v>2024</v>
      </c>
      <c r="C51" s="7">
        <v>0</v>
      </c>
    </row>
    <row r="52" spans="1:3" x14ac:dyDescent="0.2">
      <c r="A52" s="8">
        <v>45547</v>
      </c>
      <c r="B52" s="6">
        <v>2024</v>
      </c>
      <c r="C52" s="7">
        <v>0</v>
      </c>
    </row>
    <row r="53" spans="1:3" x14ac:dyDescent="0.2">
      <c r="A53" s="8">
        <v>45424</v>
      </c>
      <c r="B53" s="6">
        <v>2024</v>
      </c>
      <c r="C53" s="7">
        <v>0</v>
      </c>
    </row>
    <row r="54" spans="1:3" x14ac:dyDescent="0.2">
      <c r="A54" s="8">
        <v>45394</v>
      </c>
      <c r="B54" s="6">
        <v>2024</v>
      </c>
      <c r="C54" s="7">
        <v>0</v>
      </c>
    </row>
    <row r="55" spans="1:3" x14ac:dyDescent="0.2">
      <c r="A55" s="8">
        <v>45363</v>
      </c>
      <c r="B55" s="6">
        <v>2024</v>
      </c>
      <c r="C55" s="7">
        <v>0</v>
      </c>
    </row>
    <row r="56" spans="1:3" x14ac:dyDescent="0.2">
      <c r="A56" s="8">
        <v>45302</v>
      </c>
      <c r="B56" s="6">
        <v>2024</v>
      </c>
      <c r="C56" s="7">
        <v>0</v>
      </c>
    </row>
    <row r="57" spans="1:3" x14ac:dyDescent="0.2">
      <c r="A57" s="8">
        <v>46010</v>
      </c>
      <c r="B57" s="6">
        <v>2025</v>
      </c>
      <c r="C57" s="7">
        <v>0</v>
      </c>
    </row>
    <row r="58" spans="1:3" x14ac:dyDescent="0.2">
      <c r="A58" s="8">
        <v>45980</v>
      </c>
      <c r="B58" s="6">
        <v>2025</v>
      </c>
      <c r="C58" s="7">
        <v>0</v>
      </c>
    </row>
    <row r="59" spans="1:3" x14ac:dyDescent="0.2">
      <c r="A59" s="8">
        <v>45586</v>
      </c>
      <c r="B59" s="6">
        <v>2024</v>
      </c>
      <c r="C59" s="7">
        <v>0</v>
      </c>
    </row>
    <row r="60" spans="1:3" x14ac:dyDescent="0.2">
      <c r="A60" s="8">
        <v>45919</v>
      </c>
      <c r="B60" s="6">
        <v>2025</v>
      </c>
      <c r="C60" s="7">
        <v>0</v>
      </c>
    </row>
    <row r="61" spans="1:3" x14ac:dyDescent="0.2">
      <c r="A61" s="8">
        <v>45525</v>
      </c>
      <c r="B61" s="6">
        <v>2024</v>
      </c>
      <c r="C61" s="7">
        <v>0</v>
      </c>
    </row>
    <row r="62" spans="1:3" x14ac:dyDescent="0.2">
      <c r="A62" s="8">
        <v>45796</v>
      </c>
      <c r="B62" s="6">
        <v>2025</v>
      </c>
      <c r="C62" s="7">
        <v>0</v>
      </c>
    </row>
    <row r="63" spans="1:3" x14ac:dyDescent="0.2">
      <c r="A63" s="8">
        <v>45709</v>
      </c>
      <c r="B63" s="6">
        <v>2025</v>
      </c>
      <c r="C63" s="7">
        <v>0</v>
      </c>
    </row>
    <row r="64" spans="1:3" x14ac:dyDescent="0.2">
      <c r="A64" s="8">
        <v>45678</v>
      </c>
      <c r="B64" s="6">
        <v>2025</v>
      </c>
      <c r="C64" s="7">
        <v>0</v>
      </c>
    </row>
    <row r="65" spans="1:3" x14ac:dyDescent="0.2">
      <c r="A65" s="8">
        <v>45647</v>
      </c>
      <c r="B65" s="6">
        <v>2024</v>
      </c>
      <c r="C65" s="7">
        <v>0</v>
      </c>
    </row>
    <row r="66" spans="1:3" x14ac:dyDescent="0.2">
      <c r="A66" s="8">
        <v>45617</v>
      </c>
      <c r="B66" s="6">
        <v>2024</v>
      </c>
      <c r="C66" s="7">
        <v>0</v>
      </c>
    </row>
    <row r="67" spans="1:3" x14ac:dyDescent="0.2">
      <c r="A67" s="8">
        <v>45586</v>
      </c>
      <c r="B67" s="6">
        <v>2024</v>
      </c>
      <c r="C67" s="7">
        <v>0</v>
      </c>
    </row>
    <row r="68" spans="1:3" x14ac:dyDescent="0.2">
      <c r="A68" s="8">
        <v>45556</v>
      </c>
      <c r="B68" s="6">
        <v>2024</v>
      </c>
      <c r="C68" s="7">
        <v>0</v>
      </c>
    </row>
    <row r="69" spans="1:3" x14ac:dyDescent="0.2">
      <c r="A69" s="8">
        <v>45525</v>
      </c>
      <c r="B69" s="6">
        <v>2024</v>
      </c>
      <c r="C69" s="7">
        <v>0</v>
      </c>
    </row>
  </sheetData>
  <autoFilter ref="A1:C69" xr:uid="{00000000-0001-0000-0100-000000000000}">
    <sortState xmlns:xlrd2="http://schemas.microsoft.com/office/spreadsheetml/2017/richdata2" ref="A2:C69">
      <sortCondition descending="1" ref="C1:C6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03F49E23E0EE46894A080D56739966" ma:contentTypeVersion="3" ma:contentTypeDescription="Create a new document." ma:contentTypeScope="" ma:versionID="22982631a8098a71f8e394ddf2d77325">
  <xsd:schema xmlns:xsd="http://www.w3.org/2001/XMLSchema" xmlns:xs="http://www.w3.org/2001/XMLSchema" xmlns:p="http://schemas.microsoft.com/office/2006/metadata/properties" xmlns:ns2="8773c864-4ad8-4c27-9b42-d9e1f884cbd8" targetNamespace="http://schemas.microsoft.com/office/2006/metadata/properties" ma:root="true" ma:fieldsID="917c0f3fce25546137e95aeb8738dbdf" ns2:_="">
    <xsd:import namespace="8773c864-4ad8-4c27-9b42-d9e1f884cb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3c864-4ad8-4c27-9b42-d9e1f884cb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707178-3CAF-46F8-9089-858AC8129B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3c864-4ad8-4c27-9b42-d9e1f884cb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72B687-4BEE-4F06-BAF2-33C4B67D6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9D0375-C2AC-4EBB-B018-5827B7AF497A}">
  <ds:schemaRefs>
    <ds:schemaRef ds:uri="8773c864-4ad8-4c27-9b42-d9e1f884cbd8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Case</vt:lpstr>
      <vt:lpstr>Claims</vt:lpstr>
    </vt:vector>
  </TitlesOfParts>
  <Manager/>
  <Company>Protector Forsikring ASA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Forslund</dc:creator>
  <cp:keywords/>
  <dc:description/>
  <cp:lastModifiedBy>Albin Tynell</cp:lastModifiedBy>
  <cp:revision/>
  <dcterms:created xsi:type="dcterms:W3CDTF">2015-06-18T11:15:54Z</dcterms:created>
  <dcterms:modified xsi:type="dcterms:W3CDTF">2026-10-15T06:35:38Z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0x010100AF03F49E23E0EE46894A080D56739966</vt:lpwstr>
  </property>
</Properties>
</file>